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5-05_Data/Class Materials/Week 1 Excel/Day 4/"/>
    </mc:Choice>
  </mc:AlternateContent>
  <xr:revisionPtr revIDLastSave="0" documentId="8_{9977B9C7-0D68-4CA2-91E5-A838B67EAF50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  <c r="P14" i="2"/>
  <c r="P15" i="2"/>
  <c r="P16" i="2"/>
  <c r="P12" i="2"/>
  <c r="B20" i="2"/>
  <c r="B22" i="2"/>
  <c r="B17" i="2"/>
  <c r="F22" i="3" a="1"/>
  <c r="F22" i="3" s="1"/>
  <c r="E28" i="3" a="1"/>
  <c r="E28" i="3" s="1"/>
  <c r="C18" i="3"/>
  <c r="C9" i="2"/>
  <c r="C19" i="2" s="1"/>
  <c r="D9" i="2"/>
  <c r="D19" i="2" s="1"/>
  <c r="E9" i="2"/>
  <c r="E19" i="2" s="1"/>
  <c r="F9" i="2"/>
  <c r="F19" i="2" s="1"/>
  <c r="G9" i="2"/>
  <c r="G19" i="2" s="1"/>
  <c r="H9" i="2"/>
  <c r="H19" i="2" s="1"/>
  <c r="I9" i="2"/>
  <c r="I19" i="2" s="1"/>
  <c r="J9" i="2"/>
  <c r="J19" i="2" s="1"/>
  <c r="K9" i="2"/>
  <c r="K19" i="2" s="1"/>
  <c r="L9" i="2"/>
  <c r="L19" i="2" s="1"/>
  <c r="M9" i="2"/>
  <c r="M19" i="2" s="1"/>
  <c r="C17" i="2"/>
  <c r="D17" i="2"/>
  <c r="E17" i="2"/>
  <c r="F17" i="2"/>
  <c r="G17" i="2"/>
  <c r="H17" i="2"/>
  <c r="I17" i="2"/>
  <c r="J17" i="2"/>
  <c r="K17" i="2"/>
  <c r="L17" i="2"/>
  <c r="M17" i="2"/>
  <c r="C20" i="2"/>
  <c r="D20" i="2"/>
  <c r="E20" i="2"/>
  <c r="F20" i="2"/>
  <c r="G20" i="2"/>
  <c r="H20" i="2"/>
  <c r="I20" i="2"/>
  <c r="J20" i="2"/>
  <c r="K20" i="2"/>
  <c r="L20" i="2"/>
  <c r="M20" i="2"/>
  <c r="C21" i="2"/>
  <c r="D21" i="2"/>
  <c r="E21" i="2"/>
  <c r="F21" i="2"/>
  <c r="G21" i="2"/>
  <c r="H21" i="2"/>
  <c r="I21" i="2"/>
  <c r="J21" i="2"/>
  <c r="K21" i="2"/>
  <c r="L21" i="2"/>
  <c r="M21" i="2"/>
  <c r="C22" i="2"/>
  <c r="D22" i="2"/>
  <c r="E22" i="2"/>
  <c r="F22" i="2"/>
  <c r="G22" i="2"/>
  <c r="H22" i="2"/>
  <c r="I22" i="2"/>
  <c r="J22" i="2"/>
  <c r="K22" i="2"/>
  <c r="L22" i="2"/>
  <c r="M22" i="2"/>
  <c r="C23" i="2"/>
  <c r="D23" i="2"/>
  <c r="E23" i="2"/>
  <c r="F23" i="2"/>
  <c r="G23" i="2"/>
  <c r="H23" i="2"/>
  <c r="I23" i="2"/>
  <c r="J23" i="2"/>
  <c r="K23" i="2"/>
  <c r="L23" i="2"/>
  <c r="M23" i="2"/>
  <c r="N17" i="2"/>
  <c r="O17" i="2"/>
  <c r="N9" i="2"/>
  <c r="N19" i="2" s="1"/>
  <c r="O9" i="2"/>
  <c r="O19" i="2" s="1"/>
  <c r="B9" i="2"/>
  <c r="B19" i="2" s="1"/>
  <c r="B21" i="2" s="1"/>
  <c r="B23" i="2" s="1"/>
  <c r="O22" i="2" l="1"/>
  <c r="O21" i="2"/>
  <c r="O20" i="2"/>
  <c r="N22" i="2"/>
  <c r="N21" i="2"/>
  <c r="N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B24" i="3"/>
  <c r="C24" i="3"/>
  <c r="C29" i="3"/>
  <c r="N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<sst xmlns="http://schemas.openxmlformats.org/spreadsheetml/2006/main" count="148" uniqueCount="42">
  <si>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</si>
  <si>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</si>
  <si>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</si>
  <si>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</si>
  <si>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</si>
  <si>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</si>
  <si>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</si>
  <si>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</si>
  <si>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</si>
  <si>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</si>
  <si>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</si>
  <si>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</si>
  <si>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</si>
  <si>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</si>
  <si>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</si>
  <si>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</si>
  <si>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</si>
  <si>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</si>
  <si>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</si>
  <si>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</si>
  <si>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</si>
  <si>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</si>
  <si>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</si>
  <si>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</si>
  <si>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</si>
  <si>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</si>
  <si>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</si>
  <si>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</si>
  <si>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</si>
  <si>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</si>
  <si>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Link to HMRC</t>
  </si>
  <si>
    <t>Name</t>
  </si>
  <si>
    <t>Gender</t>
  </si>
  <si>
    <t>Salary</t>
  </si>
  <si>
    <t>Department</t>
  </si>
  <si>
    <t>M</t>
  </si>
  <si>
    <t>Sales</t>
  </si>
  <si>
    <t>F</t>
  </si>
  <si>
    <t>Logistics</t>
  </si>
  <si>
    <t>Purchasing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</si>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</sst>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18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opLeftCell="A5" workbookViewId="0">
      <selection activeCell="P9" sqref="P9:R22"/>
    </sheetView>
  </sheetViews>
  <sheetFormatPr defaultRowHeight="15"/>
  <cols>
    <col min="1" max="1" width="16.7109375" bestFit="1" customWidth="1"/>
    <col min="2" max="5" width="9" bestFit="1" customWidth="1"/>
    <col min="6" max="15" width="9.140625" bestFit="1" customWidth="1"/>
    <col min="19" max="19" width="10.42578125" bestFit="1" customWidth="1"/>
    <col min="20" max="20" width="9.5703125" bestFit="1" customWidth="1"/>
  </cols>
  <sheetData>
    <row r="1" spans="1:23" ht="23.25">
      <c r="A1" s="1" t="s">
        <v>0</v>
      </c>
    </row>
    <row r="2" spans="1:23" ht="9.75" customHeight="1"/>
    <row r="3" spans="1:23" ht="19.5">
      <c r="A3" s="8" t="s">
        <v>1</v>
      </c>
      <c r="B3" s="8"/>
    </row>
    <row r="4" spans="1:23">
      <c r="A4" s="2" t="s">
        <v>2</v>
      </c>
      <c r="B4" s="9">
        <v>0.32</v>
      </c>
    </row>
    <row r="5" spans="1:23">
      <c r="A5" s="2" t="s">
        <v>3</v>
      </c>
      <c r="B5" s="9">
        <v>0.08</v>
      </c>
    </row>
    <row r="6" spans="1:23">
      <c r="A6" s="2" t="s">
        <v>4</v>
      </c>
      <c r="B6" s="9">
        <v>0.05</v>
      </c>
    </row>
    <row r="7" spans="1:23" ht="6.75" customHeight="1"/>
    <row r="8" spans="1:23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23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23" ht="8.25" customHeight="1"/>
    <row r="11" spans="1:23" ht="15.75" customHeight="1">
      <c r="A11" s="2" t="s">
        <v>20</v>
      </c>
    </row>
    <row r="12" spans="1:23">
      <c r="A12" t="s">
        <v>21</v>
      </c>
      <c r="B12" s="16">
        <v>10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  <c r="P12">
        <f>SUM(B12:O12)</f>
        <v>113</v>
      </c>
    </row>
    <row r="13" spans="1:23">
      <c r="A13" t="s">
        <v>22</v>
      </c>
      <c r="B13" s="16">
        <v>8</v>
      </c>
      <c r="C13" s="16">
        <v>9</v>
      </c>
      <c r="D13" s="16">
        <v>8</v>
      </c>
      <c r="E13" s="16">
        <v>4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  <c r="P13">
        <f t="shared" ref="P13:P16" si="1">SUM(B13:O13)</f>
        <v>113</v>
      </c>
      <c r="T13" s="29"/>
      <c r="U13" s="19"/>
      <c r="V13" s="19"/>
      <c r="W13" s="19"/>
    </row>
    <row r="14" spans="1:23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/>
      <c r="G14" s="16"/>
      <c r="H14" s="16"/>
      <c r="I14" s="16"/>
      <c r="J14" s="16"/>
      <c r="K14" s="16"/>
      <c r="L14" s="16"/>
      <c r="M14" s="16">
        <v>6</v>
      </c>
      <c r="N14" s="16">
        <v>6</v>
      </c>
      <c r="O14" s="16">
        <v>8</v>
      </c>
      <c r="P14">
        <f t="shared" si="1"/>
        <v>54</v>
      </c>
      <c r="T14" s="29"/>
      <c r="U14" s="19"/>
    </row>
    <row r="15" spans="1:23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  <c r="P15">
        <f t="shared" si="1"/>
        <v>102</v>
      </c>
      <c r="T15" s="29"/>
      <c r="U15" s="19"/>
      <c r="V15" s="19"/>
    </row>
    <row r="16" spans="1:23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  <c r="P16">
        <f t="shared" si="1"/>
        <v>121</v>
      </c>
      <c r="T16" s="29"/>
      <c r="U16" s="19"/>
    </row>
    <row r="17" spans="1:22" ht="15.75" thickBot="1">
      <c r="A17" s="6" t="s">
        <v>26</v>
      </c>
      <c r="B17" s="6">
        <f>SUM(B12:B16)</f>
        <v>44</v>
      </c>
      <c r="C17" s="6">
        <f t="shared" ref="C17:O17" si="2">SUM(C12:C16)</f>
        <v>43</v>
      </c>
      <c r="D17" s="6">
        <f t="shared" si="2"/>
        <v>42</v>
      </c>
      <c r="E17" s="6">
        <f t="shared" si="2"/>
        <v>38</v>
      </c>
      <c r="F17" s="6">
        <f t="shared" si="2"/>
        <v>35</v>
      </c>
      <c r="G17" s="6">
        <f t="shared" si="2"/>
        <v>34</v>
      </c>
      <c r="H17" s="6">
        <f t="shared" si="2"/>
        <v>32</v>
      </c>
      <c r="I17" s="6">
        <f t="shared" si="2"/>
        <v>28</v>
      </c>
      <c r="J17" s="6">
        <f t="shared" si="2"/>
        <v>28</v>
      </c>
      <c r="K17" s="6">
        <f t="shared" si="2"/>
        <v>35</v>
      </c>
      <c r="L17" s="6">
        <f t="shared" si="2"/>
        <v>30</v>
      </c>
      <c r="M17" s="6">
        <f t="shared" si="2"/>
        <v>39</v>
      </c>
      <c r="N17" s="6">
        <f t="shared" si="2"/>
        <v>37</v>
      </c>
      <c r="O17" s="6">
        <f t="shared" si="2"/>
        <v>38</v>
      </c>
      <c r="T17" s="29"/>
      <c r="U17" s="19"/>
      <c r="V17" s="19"/>
    </row>
    <row r="18" spans="1:22" ht="15.75" thickTop="1">
      <c r="T18" s="29"/>
      <c r="U18" s="19"/>
    </row>
    <row r="19" spans="1:22">
      <c r="A19" t="s">
        <v>27</v>
      </c>
      <c r="B19" s="23">
        <f>B17*B9</f>
        <v>800.96923076923076</v>
      </c>
      <c r="C19" s="23">
        <f t="shared" ref="C19:O19" si="3">C17*C9</f>
        <v>540.55961538461543</v>
      </c>
      <c r="D19" s="23">
        <f t="shared" si="3"/>
        <v>531.96634615384619</v>
      </c>
      <c r="E19" s="23">
        <f t="shared" si="3"/>
        <v>430.4596153846154</v>
      </c>
      <c r="F19" s="23">
        <f t="shared" si="3"/>
        <v>334.65384615384613</v>
      </c>
      <c r="G19" s="23">
        <f t="shared" si="3"/>
        <v>538.08269230769235</v>
      </c>
      <c r="H19" s="23">
        <f t="shared" si="3"/>
        <v>291.24615384615385</v>
      </c>
      <c r="I19" s="23">
        <f t="shared" si="3"/>
        <v>441.92884615384617</v>
      </c>
      <c r="J19" s="23">
        <f t="shared" si="3"/>
        <v>515.52307692307693</v>
      </c>
      <c r="K19" s="23">
        <f t="shared" si="3"/>
        <v>480.47596153846155</v>
      </c>
      <c r="L19" s="23">
        <f t="shared" si="3"/>
        <v>394.73076923076923</v>
      </c>
      <c r="M19" s="23">
        <f t="shared" si="3"/>
        <v>390.9375</v>
      </c>
      <c r="N19" s="23">
        <f t="shared" si="3"/>
        <v>344.11778846153851</v>
      </c>
      <c r="O19" s="23">
        <f t="shared" si="3"/>
        <v>697.11730769230769</v>
      </c>
      <c r="T19" s="29"/>
      <c r="U19" s="19"/>
      <c r="V19" s="19"/>
    </row>
    <row r="20" spans="1:22">
      <c r="A20" t="s">
        <v>2</v>
      </c>
      <c r="B20" s="23">
        <f t="shared" ref="B20:B23" si="4">B18*B10</f>
        <v>0</v>
      </c>
      <c r="C20" s="23">
        <f t="shared" ref="C20:O20" si="5">C19*$B$4</f>
        <v>172.97907692307695</v>
      </c>
      <c r="D20" s="23">
        <f t="shared" si="5"/>
        <v>170.22923076923078</v>
      </c>
      <c r="E20" s="23">
        <f t="shared" si="5"/>
        <v>137.74707692307695</v>
      </c>
      <c r="F20" s="23">
        <f t="shared" si="5"/>
        <v>107.08923076923077</v>
      </c>
      <c r="G20" s="23">
        <f t="shared" si="5"/>
        <v>172.18646153846154</v>
      </c>
      <c r="H20" s="23">
        <f t="shared" si="5"/>
        <v>93.19876923076923</v>
      </c>
      <c r="I20" s="23">
        <f t="shared" si="5"/>
        <v>141.41723076923077</v>
      </c>
      <c r="J20" s="23">
        <f t="shared" si="5"/>
        <v>164.96738461538462</v>
      </c>
      <c r="K20" s="23">
        <f t="shared" si="5"/>
        <v>153.75230769230771</v>
      </c>
      <c r="L20" s="23">
        <f t="shared" si="5"/>
        <v>126.31384615384616</v>
      </c>
      <c r="M20" s="23">
        <f t="shared" si="5"/>
        <v>125.10000000000001</v>
      </c>
      <c r="N20" s="23">
        <f t="shared" si="5"/>
        <v>110.11769230769232</v>
      </c>
      <c r="O20" s="23">
        <f t="shared" si="5"/>
        <v>223.07753846153847</v>
      </c>
      <c r="T20" s="29"/>
      <c r="U20" s="19"/>
    </row>
    <row r="21" spans="1:22">
      <c r="A21" t="s">
        <v>3</v>
      </c>
      <c r="B21" s="23">
        <f t="shared" si="4"/>
        <v>0</v>
      </c>
      <c r="C21" s="23">
        <f t="shared" ref="C21:O21" si="6">C19*$B$5</f>
        <v>43.244769230769236</v>
      </c>
      <c r="D21" s="23">
        <f t="shared" si="6"/>
        <v>42.557307692307695</v>
      </c>
      <c r="E21" s="23">
        <f t="shared" si="6"/>
        <v>34.436769230769237</v>
      </c>
      <c r="F21" s="23">
        <f t="shared" si="6"/>
        <v>26.772307692307692</v>
      </c>
      <c r="G21" s="23">
        <f t="shared" si="6"/>
        <v>43.046615384615386</v>
      </c>
      <c r="H21" s="23">
        <f t="shared" si="6"/>
        <v>23.299692307692307</v>
      </c>
      <c r="I21" s="23">
        <f t="shared" si="6"/>
        <v>35.354307692307692</v>
      </c>
      <c r="J21" s="23">
        <f t="shared" si="6"/>
        <v>41.241846153846154</v>
      </c>
      <c r="K21" s="23">
        <f t="shared" si="6"/>
        <v>38.438076923076927</v>
      </c>
      <c r="L21" s="23">
        <f t="shared" si="6"/>
        <v>31.578461538461539</v>
      </c>
      <c r="M21" s="23">
        <f t="shared" si="6"/>
        <v>31.275000000000002</v>
      </c>
      <c r="N21" s="23">
        <f t="shared" si="6"/>
        <v>27.529423076923081</v>
      </c>
      <c r="O21" s="23">
        <f t="shared" si="6"/>
        <v>55.769384615384617</v>
      </c>
      <c r="T21" s="29"/>
      <c r="U21" s="19"/>
      <c r="V21" s="19"/>
    </row>
    <row r="22" spans="1:22">
      <c r="A22" t="s">
        <v>4</v>
      </c>
      <c r="B22" s="23">
        <f t="shared" si="4"/>
        <v>0</v>
      </c>
      <c r="C22" s="23">
        <f t="shared" ref="C22:O22" si="7">C19*$B$6</f>
        <v>27.027980769230773</v>
      </c>
      <c r="D22" s="23">
        <f t="shared" si="7"/>
        <v>26.598317307692312</v>
      </c>
      <c r="E22" s="23">
        <f t="shared" si="7"/>
        <v>21.52298076923077</v>
      </c>
      <c r="F22" s="23">
        <f t="shared" si="7"/>
        <v>16.732692307692307</v>
      </c>
      <c r="G22" s="23">
        <f t="shared" si="7"/>
        <v>26.904134615384621</v>
      </c>
      <c r="H22" s="23">
        <f t="shared" si="7"/>
        <v>14.562307692307693</v>
      </c>
      <c r="I22" s="23">
        <f t="shared" si="7"/>
        <v>22.09644230769231</v>
      </c>
      <c r="J22" s="23">
        <f t="shared" si="7"/>
        <v>25.776153846153846</v>
      </c>
      <c r="K22" s="23">
        <f t="shared" si="7"/>
        <v>24.023798076923079</v>
      </c>
      <c r="L22" s="23">
        <f t="shared" si="7"/>
        <v>19.736538461538462</v>
      </c>
      <c r="M22" s="23">
        <f t="shared" si="7"/>
        <v>19.546875</v>
      </c>
      <c r="N22" s="23">
        <f t="shared" si="7"/>
        <v>17.205889423076925</v>
      </c>
      <c r="O22" s="23">
        <f t="shared" si="7"/>
        <v>34.855865384615385</v>
      </c>
      <c r="T22" s="29"/>
      <c r="U22" s="19"/>
    </row>
    <row r="23" spans="1:22">
      <c r="A23" s="6" t="s">
        <v>28</v>
      </c>
      <c r="B23" s="23">
        <f t="shared" si="4"/>
        <v>0</v>
      </c>
      <c r="C23" s="24">
        <f t="shared" ref="C23:O23" si="8">C19-C20-C21-C22</f>
        <v>297.30778846153845</v>
      </c>
      <c r="D23" s="24">
        <f t="shared" si="8"/>
        <v>292.58149038461545</v>
      </c>
      <c r="E23" s="24">
        <f t="shared" si="8"/>
        <v>236.75278846153842</v>
      </c>
      <c r="F23" s="24">
        <f t="shared" si="8"/>
        <v>184.05961538461537</v>
      </c>
      <c r="G23" s="24">
        <f t="shared" si="8"/>
        <v>295.94548076923076</v>
      </c>
      <c r="H23" s="24">
        <f t="shared" si="8"/>
        <v>160.18538461538461</v>
      </c>
      <c r="I23" s="24">
        <f t="shared" si="8"/>
        <v>243.0608653846154</v>
      </c>
      <c r="J23" s="24">
        <f t="shared" si="8"/>
        <v>283.53769230769228</v>
      </c>
      <c r="K23" s="24">
        <f t="shared" si="8"/>
        <v>264.26177884615385</v>
      </c>
      <c r="L23" s="24">
        <f t="shared" si="8"/>
        <v>217.10192307692307</v>
      </c>
      <c r="M23" s="24">
        <f t="shared" si="8"/>
        <v>215.01562499999997</v>
      </c>
      <c r="N23" s="24">
        <f t="shared" si="8"/>
        <v>189.26478365384617</v>
      </c>
      <c r="O23" s="24">
        <f t="shared" si="8"/>
        <v>383.4145192307692</v>
      </c>
      <c r="P23" s="18"/>
      <c r="T23" s="29"/>
      <c r="U23" s="19"/>
      <c r="V23" s="19"/>
    </row>
    <row r="24" spans="1:22">
      <c r="B24" s="10"/>
      <c r="O24" s="18"/>
      <c r="U24" s="19"/>
    </row>
    <row r="25" spans="1:22">
      <c r="A25" s="11"/>
      <c r="B25" s="12"/>
      <c r="U25" s="19"/>
      <c r="V25" s="19"/>
    </row>
    <row r="26" spans="1:22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U26" s="19"/>
    </row>
    <row r="27" spans="1:22">
      <c r="U27" s="19"/>
      <c r="V27" s="19"/>
    </row>
  </sheetData>
  <sheetProtection pivotTables="0"/>
  <protectedRanges>
    <protectedRange sqref="B12:O16" name="Manager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tabSelected="1" workbookViewId="0">
      <selection activeCell="D5" sqref="D5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.5703125" bestFit="1" customWidth="1"/>
    <col min="7" max="7" width="13.85546875" bestFit="1" customWidth="1"/>
    <col min="8" max="8" width="12.7109375" bestFit="1" customWidth="1"/>
    <col min="9" max="9" width="14.140625" bestFit="1" customWidth="1"/>
    <col min="10" max="10" width="10.7109375" bestFit="1" customWidth="1"/>
    <col min="11" max="11" width="12.85546875" bestFit="1" customWidth="1"/>
    <col min="12" max="12" width="12.42578125" bestFit="1" customWidth="1"/>
    <col min="13" max="13" width="14.7109375" bestFit="1" customWidth="1"/>
    <col min="14" max="14" width="15.140625" bestFit="1" customWidth="1"/>
    <col min="15" max="15" width="12" bestFit="1" customWidth="1"/>
    <col min="16" max="16" width="11.42578125" bestFit="1" customWidth="1"/>
    <col min="17" max="17" width="10.140625" bestFit="1" customWidth="1"/>
  </cols>
  <sheetData>
    <row r="1" spans="1:21" ht="23.25">
      <c r="A1" s="1" t="s">
        <v>29</v>
      </c>
      <c r="E1" s="17"/>
      <c r="F1" s="17" t="s">
        <v>30</v>
      </c>
    </row>
    <row r="2" spans="1:21">
      <c r="E2" s="17"/>
    </row>
    <row r="3" spans="1:21" ht="18" thickBot="1">
      <c r="A3" s="4" t="s">
        <v>31</v>
      </c>
      <c r="B3" s="4" t="s">
        <v>32</v>
      </c>
      <c r="C3" s="4" t="s">
        <v>33</v>
      </c>
      <c r="D3" s="4" t="s">
        <v>34</v>
      </c>
      <c r="G3" s="4" t="s">
        <v>31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</row>
    <row r="4" spans="1:21" ht="18.75" thickTop="1" thickBot="1">
      <c r="A4" t="s">
        <v>5</v>
      </c>
      <c r="B4" t="s">
        <v>35</v>
      </c>
      <c r="C4" s="26">
        <v>37864</v>
      </c>
      <c r="D4" t="s">
        <v>36</v>
      </c>
      <c r="F4" s="20"/>
      <c r="G4" s="4" t="s">
        <v>32</v>
      </c>
      <c r="H4" t="s">
        <v>35</v>
      </c>
      <c r="I4" t="s">
        <v>35</v>
      </c>
      <c r="J4" t="s">
        <v>37</v>
      </c>
      <c r="K4" t="s">
        <v>37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37</v>
      </c>
      <c r="R4" t="s">
        <v>35</v>
      </c>
      <c r="S4" t="s">
        <v>37</v>
      </c>
      <c r="T4" t="s">
        <v>35</v>
      </c>
      <c r="U4" t="s">
        <v>37</v>
      </c>
    </row>
    <row r="5" spans="1:21" ht="18.75" thickTop="1" thickBot="1">
      <c r="A5" t="s">
        <v>6</v>
      </c>
      <c r="B5" t="s">
        <v>35</v>
      </c>
      <c r="C5" s="26">
        <v>26148</v>
      </c>
      <c r="D5" t="s">
        <v>38</v>
      </c>
      <c r="F5" s="20"/>
      <c r="G5" s="4" t="s">
        <v>33</v>
      </c>
      <c r="H5" s="26">
        <v>37864</v>
      </c>
      <c r="I5" s="26">
        <v>26148</v>
      </c>
      <c r="J5" s="26">
        <v>26345</v>
      </c>
      <c r="K5" s="26">
        <v>23562</v>
      </c>
      <c r="L5" s="26">
        <v>19888</v>
      </c>
      <c r="M5" s="26">
        <v>32918</v>
      </c>
      <c r="N5" s="26">
        <v>18931</v>
      </c>
      <c r="O5" s="26">
        <v>32829</v>
      </c>
      <c r="P5" s="26">
        <v>38296</v>
      </c>
      <c r="Q5" s="26">
        <v>28554</v>
      </c>
      <c r="R5" s="26">
        <v>27368</v>
      </c>
      <c r="S5" s="26">
        <v>20850</v>
      </c>
      <c r="T5" s="26">
        <v>19345</v>
      </c>
      <c r="U5" s="26">
        <v>38158</v>
      </c>
    </row>
    <row r="6" spans="1:21" ht="18.75" thickTop="1" thickBot="1">
      <c r="A6" t="s">
        <v>7</v>
      </c>
      <c r="B6" t="s">
        <v>37</v>
      </c>
      <c r="C6" s="26">
        <v>26345</v>
      </c>
      <c r="D6" t="s">
        <v>38</v>
      </c>
      <c r="F6" s="20"/>
      <c r="G6" s="4" t="s">
        <v>34</v>
      </c>
      <c r="H6" t="s">
        <v>36</v>
      </c>
      <c r="I6" t="s">
        <v>39</v>
      </c>
      <c r="J6" t="s">
        <v>38</v>
      </c>
      <c r="K6" t="s">
        <v>36</v>
      </c>
      <c r="L6" t="s">
        <v>38</v>
      </c>
      <c r="M6" t="s">
        <v>39</v>
      </c>
      <c r="N6" t="s">
        <v>36</v>
      </c>
      <c r="O6" t="s">
        <v>36</v>
      </c>
      <c r="P6" t="s">
        <v>39</v>
      </c>
      <c r="Q6" t="s">
        <v>36</v>
      </c>
      <c r="R6" t="s">
        <v>38</v>
      </c>
      <c r="S6" t="s">
        <v>39</v>
      </c>
      <c r="T6" t="s">
        <v>39</v>
      </c>
      <c r="U6" t="s">
        <v>36</v>
      </c>
    </row>
    <row r="7" spans="1:21" ht="15.75" thickTop="1">
      <c r="A7" t="s">
        <v>8</v>
      </c>
      <c r="B7" t="s">
        <v>37</v>
      </c>
      <c r="C7" s="26">
        <v>23562</v>
      </c>
      <c r="D7" t="s">
        <v>36</v>
      </c>
    </row>
    <row r="8" spans="1:21">
      <c r="A8" t="s">
        <v>9</v>
      </c>
      <c r="B8" t="s">
        <v>35</v>
      </c>
      <c r="C8" s="26">
        <v>19888</v>
      </c>
      <c r="D8" t="s">
        <v>38</v>
      </c>
    </row>
    <row r="9" spans="1:21">
      <c r="A9" t="s">
        <v>10</v>
      </c>
      <c r="B9" t="s">
        <v>35</v>
      </c>
      <c r="C9" s="26">
        <v>32918</v>
      </c>
      <c r="D9" t="s">
        <v>36</v>
      </c>
      <c r="J9" s="19"/>
    </row>
    <row r="10" spans="1:21">
      <c r="A10" t="s">
        <v>11</v>
      </c>
      <c r="B10" t="s">
        <v>35</v>
      </c>
      <c r="C10" s="26">
        <v>18931</v>
      </c>
      <c r="D10" t="s">
        <v>36</v>
      </c>
      <c r="J10" s="19"/>
    </row>
    <row r="11" spans="1:21">
      <c r="A11" t="s">
        <v>12</v>
      </c>
      <c r="B11" t="s">
        <v>35</v>
      </c>
      <c r="C11" s="26">
        <v>32829</v>
      </c>
      <c r="D11" t="s">
        <v>36</v>
      </c>
      <c r="J11" s="21"/>
    </row>
    <row r="12" spans="1:21">
      <c r="A12" t="s">
        <v>13</v>
      </c>
      <c r="B12" t="s">
        <v>35</v>
      </c>
      <c r="C12" s="26">
        <v>38296</v>
      </c>
      <c r="D12" t="s">
        <v>39</v>
      </c>
    </row>
    <row r="13" spans="1:21">
      <c r="A13" t="s">
        <v>14</v>
      </c>
      <c r="B13" t="s">
        <v>37</v>
      </c>
      <c r="C13" s="26">
        <v>28554</v>
      </c>
      <c r="D13" t="s">
        <v>36</v>
      </c>
      <c r="J13" s="22"/>
    </row>
    <row r="14" spans="1:21">
      <c r="A14" t="s">
        <v>15</v>
      </c>
      <c r="B14" t="s">
        <v>35</v>
      </c>
      <c r="C14" s="26">
        <v>27368</v>
      </c>
      <c r="D14" t="s">
        <v>38</v>
      </c>
      <c r="J14" s="19"/>
    </row>
    <row r="15" spans="1:21">
      <c r="A15" t="s">
        <v>16</v>
      </c>
      <c r="B15" t="s">
        <v>37</v>
      </c>
      <c r="C15" s="26">
        <v>20850</v>
      </c>
      <c r="D15" t="s">
        <v>39</v>
      </c>
    </row>
    <row r="16" spans="1:21">
      <c r="A16" t="s">
        <v>17</v>
      </c>
      <c r="B16" t="s">
        <v>35</v>
      </c>
      <c r="C16" s="26">
        <v>19345</v>
      </c>
      <c r="D16" t="s">
        <v>39</v>
      </c>
    </row>
    <row r="17" spans="1:7">
      <c r="A17" t="s">
        <v>18</v>
      </c>
      <c r="B17" t="s">
        <v>37</v>
      </c>
      <c r="C17" s="26">
        <v>38158</v>
      </c>
      <c r="D17" t="s">
        <v>36</v>
      </c>
    </row>
    <row r="18" spans="1:7">
      <c r="A18" s="6" t="s">
        <v>26</v>
      </c>
      <c r="B18" s="6"/>
      <c r="C18" s="27">
        <f>SUM(C4:C17)</f>
        <v>391056</v>
      </c>
      <c r="D18" s="6"/>
    </row>
    <row r="20" spans="1:7">
      <c r="A20" s="3" t="s">
        <v>34</v>
      </c>
      <c r="B20" s="3" t="s">
        <v>33</v>
      </c>
      <c r="C20" s="3" t="s">
        <v>40</v>
      </c>
    </row>
    <row r="21" spans="1:7">
      <c r="A21" t="s">
        <v>36</v>
      </c>
      <c r="B21" s="25">
        <f>SUMIF($D$4:$D$17,A21,$C$4:$C$17)</f>
        <v>212816</v>
      </c>
      <c r="C21">
        <f>COUNTIF($D$4:$D$17,A21)</f>
        <v>7</v>
      </c>
      <c r="E21" t="s">
        <v>36</v>
      </c>
      <c r="F21" t="s">
        <v>39</v>
      </c>
      <c r="G21" t="s">
        <v>38</v>
      </c>
    </row>
    <row r="22" spans="1:7">
      <c r="A22" t="s">
        <v>39</v>
      </c>
      <c r="B22" s="25">
        <f t="shared" ref="B22:B23" si="0">SUMIF($D$4:$D$17,A22,$C$4:$C$17)</f>
        <v>78491</v>
      </c>
      <c r="C22">
        <f t="shared" ref="C22:C23" si="1">COUNTIF($D$4:$D$17,A22)</f>
        <v>3</v>
      </c>
      <c r="E22" s="3" t="s">
        <v>34</v>
      </c>
      <c r="F22" t="str" cm="1">
        <f t="array" ref="F22:F24">TRANSPOSE(A20:C20)</f>
        <v>Department</v>
      </c>
    </row>
    <row r="23" spans="1:7">
      <c r="A23" t="s">
        <v>38</v>
      </c>
      <c r="B23" s="25">
        <f t="shared" si="0"/>
        <v>99749</v>
      </c>
      <c r="C23">
        <f t="shared" si="1"/>
        <v>4</v>
      </c>
      <c r="E23" s="3" t="s">
        <v>33</v>
      </c>
      <c r="F23" t="str">
        <v>Salary</v>
      </c>
    </row>
    <row r="24" spans="1:7">
      <c r="A24" s="6" t="s">
        <v>41</v>
      </c>
      <c r="B24" s="28">
        <f>SUM(B21:B23)</f>
        <v>391056</v>
      </c>
      <c r="C24" s="7">
        <f>SUM(C21:C23)</f>
        <v>14</v>
      </c>
      <c r="E24" s="3" t="s">
        <v>40</v>
      </c>
      <c r="F24" t="str">
        <v>Headcount</v>
      </c>
    </row>
    <row r="26" spans="1:7">
      <c r="A26" s="3" t="s">
        <v>32</v>
      </c>
      <c r="B26" s="3" t="s">
        <v>33</v>
      </c>
      <c r="C26" s="3" t="s">
        <v>40</v>
      </c>
    </row>
    <row r="27" spans="1:7">
      <c r="A27" t="s">
        <v>35</v>
      </c>
      <c r="B27" s="25">
        <f>SUMIF($B$4:$B$17,A27,$C$4:$C$17)</f>
        <v>253587</v>
      </c>
      <c r="C27">
        <f>COUNTIF(B4:B17,A27)</f>
        <v>9</v>
      </c>
      <c r="E27" t="s">
        <v>35</v>
      </c>
      <c r="F27" t="s">
        <v>37</v>
      </c>
    </row>
    <row r="28" spans="1:7">
      <c r="A28" t="s">
        <v>37</v>
      </c>
      <c r="B28" s="25">
        <f>SUMIF($B$4:$B$17,A28,$C$4:$C$17)</f>
        <v>137469</v>
      </c>
      <c r="C28">
        <f>COUNTIF(B5:B17,A28)</f>
        <v>5</v>
      </c>
      <c r="E28" cm="1">
        <f t="array" ref="E28:F28">TRANSPOSE(B27:B28)</f>
        <v>253587</v>
      </c>
      <c r="F28">
        <v>137469</v>
      </c>
    </row>
    <row r="29" spans="1:7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20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  <dataValidation type="list" allowBlank="1" showInputMessage="1" showErrorMessage="1" error="Please select correct department" promptTitle="Input" prompt="Please select a department" sqref="D4:D17" xr:uid="{5ADE5033-3C54-4CAB-9C21-397FE84DCE2A}">
      <formula1>"Sales, Logistics, Purchasing"</formula1>
    </dataValidation>
  </dataValidations>
  <hyperlinks>
    <hyperlink ref="F1" r:id="rId1" xr:uid="{54D8920F-2423-4C84-803A-62BE14122C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B6F132A1-BF5A-4843-AF5B-713C3C5E882A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2026-06-15T22:53:05Z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</Properties>
</file>